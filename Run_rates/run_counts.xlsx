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_Lab members\Julius\03_DataAnalysis\MitoFlow\run_quantification\"/>
    </mc:Choice>
  </mc:AlternateContent>
  <xr:revisionPtr revIDLastSave="0" documentId="13_ncr:1_{AD1B362F-DDD8-41ED-B1C5-DEBB078F29D3}" xr6:coauthVersionLast="47" xr6:coauthVersionMax="47" xr10:uidLastSave="{00000000-0000-0000-0000-000000000000}"/>
  <bookViews>
    <workbookView xWindow="-27780" yWindow="555" windowWidth="23895" windowHeight="15030" xr2:uid="{00000000-000D-0000-FFFF-FFFF00000000}"/>
  </bookViews>
  <sheets>
    <sheet name="Sheet1" sheetId="1" r:id="rId1"/>
  </sheets>
  <definedNames>
    <definedName name="_xlchart.v1.0" hidden="1">Sheet1!$C$2:$C$13</definedName>
    <definedName name="_xlchart.v1.1" hidden="1">Sheet1!$G$1</definedName>
    <definedName name="_xlchart.v1.10" hidden="1">Sheet1!$C$2:$C$13</definedName>
    <definedName name="_xlchart.v1.100" hidden="1">Sheet1!$G$1</definedName>
    <definedName name="_xlchart.v1.101" hidden="1">Sheet1!$G$2:$G$13</definedName>
    <definedName name="_xlchart.v1.102" hidden="1">Sheet1!$H$1</definedName>
    <definedName name="_xlchart.v1.103" hidden="1">Sheet1!$H$2:$H$13</definedName>
    <definedName name="_xlchart.v1.104" hidden="1">Sheet1!$C$2:$C$13</definedName>
    <definedName name="_xlchart.v1.105" hidden="1">Sheet1!$G$1</definedName>
    <definedName name="_xlchart.v1.106" hidden="1">Sheet1!$G$2:$G$13</definedName>
    <definedName name="_xlchart.v1.107" hidden="1">Sheet1!$H$1</definedName>
    <definedName name="_xlchart.v1.108" hidden="1">Sheet1!$H$2:$H$13</definedName>
    <definedName name="_xlchart.v1.11" hidden="1">Sheet1!$G$1</definedName>
    <definedName name="_xlchart.v1.12" hidden="1">Sheet1!$G$2:$G$13</definedName>
    <definedName name="_xlchart.v1.13" hidden="1">Sheet1!$H$1</definedName>
    <definedName name="_xlchart.v1.14" hidden="1">Sheet1!$H$2:$H$13</definedName>
    <definedName name="_xlchart.v1.15" hidden="1">Sheet1!$C$2:$C$13</definedName>
    <definedName name="_xlchart.v1.16" hidden="1">Sheet1!$G$1</definedName>
    <definedName name="_xlchart.v1.17" hidden="1">Sheet1!$G$2:$G$13</definedName>
    <definedName name="_xlchart.v1.18" hidden="1">Sheet1!$H$1</definedName>
    <definedName name="_xlchart.v1.19" hidden="1">Sheet1!$H$2:$H$13</definedName>
    <definedName name="_xlchart.v1.2" hidden="1">Sheet1!$G$2:$G$13</definedName>
    <definedName name="_xlchart.v1.20" hidden="1">Sheet1!$C$2:$C$13</definedName>
    <definedName name="_xlchart.v1.21" hidden="1">Sheet1!$G$1</definedName>
    <definedName name="_xlchart.v1.22" hidden="1">Sheet1!$G$2:$G$13</definedName>
    <definedName name="_xlchart.v1.23" hidden="1">Sheet1!$H$1</definedName>
    <definedName name="_xlchart.v1.24" hidden="1">Sheet1!$H$2:$H$13</definedName>
    <definedName name="_xlchart.v1.25" hidden="1">Sheet1!$C$2:$C$13</definedName>
    <definedName name="_xlchart.v1.26" hidden="1">Sheet1!$C$2:$C$14</definedName>
    <definedName name="_xlchart.v1.27" hidden="1">Sheet1!$C$2:$C$15</definedName>
    <definedName name="_xlchart.v1.28" hidden="1">Sheet1!$C$2:$C$18</definedName>
    <definedName name="_xlchart.v1.29" hidden="1">Sheet1!$C$2:$C$19</definedName>
    <definedName name="_xlchart.v1.3" hidden="1">Sheet1!$H$1</definedName>
    <definedName name="_xlchart.v1.30" hidden="1">Sheet1!$C$2:$C$20</definedName>
    <definedName name="_xlchart.v1.31" hidden="1">Sheet1!$C$2:$C$21</definedName>
    <definedName name="_xlchart.v1.32" hidden="1">Sheet1!$C$2:$C$22</definedName>
    <definedName name="_xlchart.v1.33" hidden="1">Sheet1!$C$2:$C$23</definedName>
    <definedName name="_xlchart.v1.34" hidden="1">Sheet1!$C$2:$C$24</definedName>
    <definedName name="_xlchart.v1.35" hidden="1">Sheet1!$C$2:$C$25</definedName>
    <definedName name="_xlchart.v1.36" hidden="1">Sheet1!$C$2:$C$26</definedName>
    <definedName name="_xlchart.v1.37" hidden="1">Sheet1!$C$2:$C$27</definedName>
    <definedName name="_xlchart.v1.38" hidden="1">Sheet1!$C$2:$C$28</definedName>
    <definedName name="_xlchart.v1.39" hidden="1">Sheet1!$C$2:$C$29</definedName>
    <definedName name="_xlchart.v1.4" hidden="1">Sheet1!$H$2:$H$13</definedName>
    <definedName name="_xlchart.v1.40" hidden="1">Sheet1!$C$2:$C$30</definedName>
    <definedName name="_xlchart.v1.41" hidden="1">Sheet1!$C$2:$C$31</definedName>
    <definedName name="_xlchart.v1.42" hidden="1">Sheet1!$C$2:$C$32</definedName>
    <definedName name="_xlchart.v1.43" hidden="1">Sheet1!$C$2:$C$33</definedName>
    <definedName name="_xlchart.v1.44" hidden="1">Sheet1!$C$2:$C$34</definedName>
    <definedName name="_xlchart.v1.45" hidden="1">Sheet1!$C$2:$C$35</definedName>
    <definedName name="_xlchart.v1.46" hidden="1">Sheet1!$C$2:$C$36</definedName>
    <definedName name="_xlchart.v1.47" hidden="1">Sheet1!$C$2:$C$37</definedName>
    <definedName name="_xlchart.v1.48" hidden="1">Sheet1!$C$2:$C$38</definedName>
    <definedName name="_xlchart.v1.49" hidden="1">Sheet1!$G$1</definedName>
    <definedName name="_xlchart.v1.5" hidden="1">Sheet1!$C$2:$C$13</definedName>
    <definedName name="_xlchart.v1.50" hidden="1">Sheet1!$G$2:$G$13</definedName>
    <definedName name="_xlchart.v1.51" hidden="1">Sheet1!$G$2:$G$14</definedName>
    <definedName name="_xlchart.v1.52" hidden="1">Sheet1!$G$2:$G$15</definedName>
    <definedName name="_xlchart.v1.53" hidden="1">Sheet1!$G$2:$G$18</definedName>
    <definedName name="_xlchart.v1.54" hidden="1">Sheet1!$G$2:$G$19</definedName>
    <definedName name="_xlchart.v1.55" hidden="1">Sheet1!$G$2:$G$20</definedName>
    <definedName name="_xlchart.v1.56" hidden="1">Sheet1!$G$2:$G$21</definedName>
    <definedName name="_xlchart.v1.57" hidden="1">Sheet1!$G$2:$G$22</definedName>
    <definedName name="_xlchart.v1.58" hidden="1">Sheet1!$G$2:$G$23</definedName>
    <definedName name="_xlchart.v1.59" hidden="1">Sheet1!$G$2:$G$24</definedName>
    <definedName name="_xlchart.v1.6" hidden="1">Sheet1!$G$1</definedName>
    <definedName name="_xlchart.v1.60" hidden="1">Sheet1!$G$2:$G$25</definedName>
    <definedName name="_xlchart.v1.61" hidden="1">Sheet1!$G$2:$G$26</definedName>
    <definedName name="_xlchart.v1.62" hidden="1">Sheet1!$G$2:$G$27</definedName>
    <definedName name="_xlchart.v1.63" hidden="1">Sheet1!$G$2:$G$28</definedName>
    <definedName name="_xlchart.v1.64" hidden="1">Sheet1!$G$2:$G$29</definedName>
    <definedName name="_xlchart.v1.65" hidden="1">Sheet1!$G$2:$G$30</definedName>
    <definedName name="_xlchart.v1.66" hidden="1">Sheet1!$G$2:$G$31</definedName>
    <definedName name="_xlchart.v1.67" hidden="1">Sheet1!$G$2:$G$32</definedName>
    <definedName name="_xlchart.v1.68" hidden="1">Sheet1!$G$2:$G$33</definedName>
    <definedName name="_xlchart.v1.69" hidden="1">Sheet1!$G$2:$G$34</definedName>
    <definedName name="_xlchart.v1.7" hidden="1">Sheet1!$G$2:$G$13</definedName>
    <definedName name="_xlchart.v1.70" hidden="1">Sheet1!$G$2:$G$35</definedName>
    <definedName name="_xlchart.v1.71" hidden="1">Sheet1!$G$2:$G$36</definedName>
    <definedName name="_xlchart.v1.72" hidden="1">Sheet1!$G$2:$G$37</definedName>
    <definedName name="_xlchart.v1.73" hidden="1">Sheet1!$G$2:$G$38</definedName>
    <definedName name="_xlchart.v1.74" hidden="1">Sheet1!$H$1</definedName>
    <definedName name="_xlchart.v1.75" hidden="1">Sheet1!$H$2:$H$13</definedName>
    <definedName name="_xlchart.v1.76" hidden="1">Sheet1!$H$2:$H$14</definedName>
    <definedName name="_xlchart.v1.77" hidden="1">Sheet1!$H$2:$H$15</definedName>
    <definedName name="_xlchart.v1.78" hidden="1">Sheet1!$H$2:$H$18</definedName>
    <definedName name="_xlchart.v1.79" hidden="1">Sheet1!$H$2:$H$19</definedName>
    <definedName name="_xlchart.v1.8" hidden="1">Sheet1!$H$1</definedName>
    <definedName name="_xlchart.v1.80" hidden="1">Sheet1!$H$2:$H$20</definedName>
    <definedName name="_xlchart.v1.81" hidden="1">Sheet1!$H$2:$H$21</definedName>
    <definedName name="_xlchart.v1.82" hidden="1">Sheet1!$H$2:$H$22</definedName>
    <definedName name="_xlchart.v1.83" hidden="1">Sheet1!$H$2:$H$23</definedName>
    <definedName name="_xlchart.v1.84" hidden="1">Sheet1!$H$2:$H$24</definedName>
    <definedName name="_xlchart.v1.85" hidden="1">Sheet1!$H$2:$H$25</definedName>
    <definedName name="_xlchart.v1.86" hidden="1">Sheet1!$H$2:$H$26</definedName>
    <definedName name="_xlchart.v1.87" hidden="1">Sheet1!$H$2:$H$27</definedName>
    <definedName name="_xlchart.v1.88" hidden="1">Sheet1!$H$2:$H$28</definedName>
    <definedName name="_xlchart.v1.89" hidden="1">Sheet1!$H$2:$H$29</definedName>
    <definedName name="_xlchart.v1.9" hidden="1">Sheet1!$H$2:$H$13</definedName>
    <definedName name="_xlchart.v1.90" hidden="1">Sheet1!$H$2:$H$30</definedName>
    <definedName name="_xlchart.v1.91" hidden="1">Sheet1!$H$2:$H$31</definedName>
    <definedName name="_xlchart.v1.92" hidden="1">Sheet1!$H$2:$H$32</definedName>
    <definedName name="_xlchart.v1.93" hidden="1">Sheet1!$H$2:$H$33</definedName>
    <definedName name="_xlchart.v1.94" hidden="1">Sheet1!$H$2:$H$34</definedName>
    <definedName name="_xlchart.v1.95" hidden="1">Sheet1!$H$2:$H$35</definedName>
    <definedName name="_xlchart.v1.96" hidden="1">Sheet1!$H$2:$H$36</definedName>
    <definedName name="_xlchart.v1.97" hidden="1">Sheet1!$H$2:$H$37</definedName>
    <definedName name="_xlchart.v1.98" hidden="1">Sheet1!$H$2:$H$38</definedName>
    <definedName name="_xlchart.v1.99" hidden="1">Sheet1!$C$2:$C$13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1" l="1"/>
  <c r="H38" i="1"/>
  <c r="G37" i="1"/>
  <c r="H37" i="1"/>
  <c r="G36" i="1"/>
  <c r="H36" i="1"/>
  <c r="G35" i="1"/>
  <c r="H35" i="1"/>
  <c r="G34" i="1"/>
  <c r="H34" i="1"/>
  <c r="G33" i="1"/>
  <c r="H33" i="1"/>
  <c r="G32" i="1"/>
  <c r="H32" i="1"/>
  <c r="G31" i="1"/>
  <c r="H31" i="1"/>
  <c r="G30" i="1"/>
  <c r="H30" i="1"/>
  <c r="G29" i="1"/>
  <c r="H29" i="1"/>
  <c r="G28" i="1"/>
  <c r="H28" i="1"/>
  <c r="G27" i="1"/>
  <c r="H27" i="1"/>
  <c r="G26" i="1"/>
  <c r="H26" i="1"/>
  <c r="G25" i="1"/>
  <c r="H25" i="1"/>
  <c r="G24" i="1"/>
  <c r="H24" i="1"/>
  <c r="G23" i="1"/>
  <c r="H23" i="1"/>
  <c r="G22" i="1"/>
  <c r="H22" i="1"/>
  <c r="G21" i="1"/>
  <c r="H21" i="1"/>
  <c r="G20" i="1"/>
  <c r="H20" i="1"/>
  <c r="G19" i="1"/>
  <c r="H19" i="1"/>
  <c r="G16" i="1"/>
  <c r="H16" i="1"/>
  <c r="G17" i="1"/>
  <c r="H17" i="1"/>
  <c r="G18" i="1"/>
  <c r="H18" i="1"/>
  <c r="G15" i="1"/>
  <c r="H15" i="1"/>
  <c r="H14" i="1"/>
  <c r="G14" i="1"/>
  <c r="G13" i="1"/>
  <c r="H13" i="1"/>
  <c r="G12" i="1"/>
  <c r="H12" i="1"/>
  <c r="G11" i="1"/>
  <c r="H11" i="1"/>
  <c r="G10" i="1"/>
  <c r="H10" i="1"/>
  <c r="G9" i="1"/>
  <c r="H9" i="1"/>
  <c r="G8" i="1"/>
  <c r="H8" i="1"/>
  <c r="G7" i="1"/>
  <c r="H7" i="1"/>
  <c r="G5" i="1"/>
  <c r="H5" i="1"/>
  <c r="G6" i="1"/>
  <c r="H6" i="1"/>
  <c r="G3" i="1"/>
  <c r="H3" i="1"/>
  <c r="G4" i="1"/>
  <c r="H4" i="1"/>
  <c r="H2" i="1"/>
  <c r="G2" i="1"/>
</calcChain>
</file>

<file path=xl/sharedStrings.xml><?xml version="1.0" encoding="utf-8"?>
<sst xmlns="http://schemas.openxmlformats.org/spreadsheetml/2006/main" count="95" uniqueCount="59">
  <si>
    <t>date</t>
  </si>
  <si>
    <t>filename</t>
  </si>
  <si>
    <t>#runs anterograde</t>
  </si>
  <si>
    <t>#runs retrograde</t>
  </si>
  <si>
    <t>movie length</t>
  </si>
  <si>
    <t>S1_arches_post1_s1</t>
  </si>
  <si>
    <t>S1_arches_post1_s2</t>
  </si>
  <si>
    <t>S3_arches_post1_s4</t>
  </si>
  <si>
    <t>anterograde runs/min</t>
  </si>
  <si>
    <t>retrograde runs/min</t>
  </si>
  <si>
    <t>S1_arches_post2_s2</t>
  </si>
  <si>
    <t>S2_arches_post2_s1_cell2</t>
  </si>
  <si>
    <t>S3_arches_post1_s6</t>
  </si>
  <si>
    <t>S1_arches_post2_s4</t>
  </si>
  <si>
    <t>S1_arches_post1_s7</t>
  </si>
  <si>
    <t>condition</t>
  </si>
  <si>
    <t>wt</t>
  </si>
  <si>
    <t>S2_arches_post1_s1</t>
  </si>
  <si>
    <t>TRAK2 kd</t>
  </si>
  <si>
    <t>S1_siTRAK2_1_s3</t>
  </si>
  <si>
    <t>S1_siTRAK2_1_s5</t>
  </si>
  <si>
    <t>S4_siTRAK2_1_s7</t>
  </si>
  <si>
    <t>S1_siTRAK2_1_s4</t>
  </si>
  <si>
    <t>S1_siTRAK2_1_s11</t>
  </si>
  <si>
    <t>S2_siTRAK1_1_s2</t>
  </si>
  <si>
    <t>S2_siTRAK1_1_s9</t>
  </si>
  <si>
    <t>si control</t>
  </si>
  <si>
    <t>TRAK1 kd</t>
  </si>
  <si>
    <t>S1_control1_s5</t>
  </si>
  <si>
    <t>S1_control1_s10</t>
  </si>
  <si>
    <t>S1_control1_s13</t>
  </si>
  <si>
    <t>S1_control2_s8</t>
  </si>
  <si>
    <t>S3_control1_s4</t>
  </si>
  <si>
    <t>S3_control1_s12</t>
  </si>
  <si>
    <t>S2_siTRAK1_1_s5</t>
  </si>
  <si>
    <t>S2_siTRAK1_1_s6</t>
  </si>
  <si>
    <t>S2_siTRAK1_1_s15</t>
  </si>
  <si>
    <t>S2_siTRAK1_2_s8</t>
  </si>
  <si>
    <t>S4_siTRAK11_s10</t>
  </si>
  <si>
    <t>Comments</t>
  </si>
  <si>
    <t>Quite dense periphery, hard to get every mito that moves around. Probably underestimating numbers. Anterograde mito come from the flanks while retrograde mito seem to go through the middle</t>
  </si>
  <si>
    <t>Fragmented mito, harder to follow single mito due to this as they don't have distinctive features. Same types of motion</t>
  </si>
  <si>
    <t>Same as wt</t>
  </si>
  <si>
    <t>Much easier to follow mito in the periphery and I probably better manage to get all of them. Probably not undercounting here. Same types of motion as wt</t>
  </si>
  <si>
    <t>TRAK2 oe</t>
  </si>
  <si>
    <t>Less mito in periphery but seem a lot faster and more wiggly making them hard to follow and determine origin. (probably longer, unperturbed stretches of directed motion). Definitely underestimating numbers here again. Anterograde mito now move a lot via the flanks</t>
  </si>
  <si>
    <t>S1_TRAK2_oe1_s6</t>
  </si>
  <si>
    <t>S4_TRAK2_oe1_s11</t>
  </si>
  <si>
    <t>S4_TRAK2_oe1_s15</t>
  </si>
  <si>
    <t>S4_TRAK2_oe1_s18</t>
  </si>
  <si>
    <t>S1_TRAK2_oe1_s2</t>
  </si>
  <si>
    <t>TRAK1 oe</t>
  </si>
  <si>
    <t>S3_TRAK1_oe1_s4</t>
  </si>
  <si>
    <t xml:space="preserve">TRAK1 oe </t>
  </si>
  <si>
    <t>Due to the hyperconnectedness and the constant fusions it's hard to keep track of individual mitos</t>
  </si>
  <si>
    <t>S3_TRAK1_oe1_s9</t>
  </si>
  <si>
    <t>S3_TRAK1_oe1_s15</t>
  </si>
  <si>
    <t>S3_TRAK1_oe2_s2</t>
  </si>
  <si>
    <t>S3_TRAK1_oe2_s8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</si>
</sst>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_xlchart.v1.48</cx:f>
      </cx:strDim>
      <cx:numDim type="val">
        <cx:f>_xlchart.v1.73</cx:f>
      </cx:numDim>
    </cx:data>
    <cx:data id="1">
      <cx:strDim type="cat">
        <cx:f>_xlchart.v1.48</cx:f>
      </cx:strDim>
      <cx:numDim type="val">
        <cx:f>_xlchart.v1.98</cx:f>
      </cx:numDim>
    </cx:data>
  </cx:chartData>
  <cx:chart>
    <cx:title pos="t" align="ctr" overlay="0">
      <cx:tx>
        <cx:txData>
          <cx:v>runs/min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runs/min</a:t>
          </a:r>
        </a:p>
      </cx:txPr>
    </cx:title>
    <cx:plotArea>
      <cx:plotAreaRegion>
        <cx:series layoutId="boxWhisker" uniqueId="{DF35BDEC-7E86-455D-A9FC-0D1D9FDBB9AB}">
          <cx:tx>
            <cx:txData>
              <cx:f>_xlchart.v1.49</cx:f>
              <cx:v>anterograde runs/min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FDC2C60-1B2E-4437-BE2D-6167F8BA0E81}">
          <cx:tx>
            <cx:txData>
              <cx:f>_xlchart.v1.74</cx:f>
              <cx:v>retrograde runs/min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4761</xdr:colOff>
      <xdr:row>1</xdr:row>
      <xdr:rowOff>4762</xdr:rowOff>
    </xdr:from>
    <xdr:to>
      <xdr:col>18</xdr:col>
      <xdr:colOff>95250</xdr:colOff>
      <xdr:row>19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F9ED70E-737A-4A79-83BF-53DE289347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58361" y="195262"/>
              <a:ext cx="5576889" cy="34337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zoomScaleNormal="100" workbookViewId="0">
      <selection activeCell="D40" sqref="D40"/>
    </sheetView>
  </sheetViews>
  <sheetFormatPr defaultRowHeight="15" x14ac:dyDescent="0.25"/>
  <cols>
    <col min="2" max="2" width="24" bestFit="1" customWidth="1"/>
    <col min="3" max="3" width="18" customWidth="1"/>
    <col min="4" max="4" width="17.42578125" bestFit="1" customWidth="1"/>
    <col min="5" max="5" width="15.85546875" bestFit="1" customWidth="1"/>
    <col min="6" max="6" width="12.7109375" bestFit="1" customWidth="1"/>
    <col min="7" max="7" width="20.7109375" bestFit="1" customWidth="1"/>
    <col min="8" max="8" width="19.28515625" bestFit="1" customWidth="1"/>
  </cols>
  <sheetData>
    <row r="1" spans="1:8" x14ac:dyDescent="0.25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4</v>
      </c>
      <c r="G1" t="s">
        <v>8</v>
      </c>
      <c r="H1" t="s">
        <v>9</v>
      </c>
    </row>
    <row r="2" spans="1:8" x14ac:dyDescent="0.25">
      <c r="A2">
        <v>220819</v>
      </c>
      <c r="B2" t="s">
        <v>5</v>
      </c>
      <c r="C2" t="s">
        <v>16</v>
      </c>
      <c r="D2">
        <v>6</v>
      </c>
      <c r="E2">
        <v>2</v>
      </c>
      <c r="F2">
        <v>90</v>
      </c>
      <c r="G2">
        <f>D2/F2</f>
        <v>6.6666666666666666E-2</v>
      </c>
      <c r="H2">
        <f t="shared" ref="H2:H15" si="0">E2/F2</f>
        <v>2.2222222222222223E-2</v>
      </c>
    </row>
    <row r="3" spans="1:8" x14ac:dyDescent="0.25">
      <c r="B3" t="s">
        <v>6</v>
      </c>
      <c r="C3" t="s">
        <v>16</v>
      </c>
      <c r="D3">
        <v>6</v>
      </c>
      <c r="E3">
        <v>1</v>
      </c>
      <c r="F3">
        <v>90</v>
      </c>
      <c r="G3">
        <f>D3/F3</f>
        <v>6.6666666666666666E-2</v>
      </c>
      <c r="H3">
        <f t="shared" si="0"/>
        <v>1.1111111111111112E-2</v>
      </c>
    </row>
    <row r="4" spans="1:8" x14ac:dyDescent="0.25">
      <c r="B4" t="s">
        <v>7</v>
      </c>
      <c r="C4" t="s">
        <v>16</v>
      </c>
      <c r="D4">
        <v>7</v>
      </c>
      <c r="E4">
        <v>3</v>
      </c>
      <c r="F4">
        <v>90</v>
      </c>
      <c r="G4">
        <f>D4/F4</f>
        <v>7.7777777777777779E-2</v>
      </c>
      <c r="H4">
        <f t="shared" si="0"/>
        <v>3.3333333333333333E-2</v>
      </c>
    </row>
    <row r="5" spans="1:8" x14ac:dyDescent="0.25">
      <c r="A5">
        <v>221006</v>
      </c>
      <c r="B5" t="s">
        <v>10</v>
      </c>
      <c r="C5" t="s">
        <v>16</v>
      </c>
      <c r="D5">
        <v>10</v>
      </c>
      <c r="E5">
        <v>3</v>
      </c>
      <c r="F5">
        <v>90</v>
      </c>
      <c r="G5">
        <f>D5/F5</f>
        <v>0.1111111111111111</v>
      </c>
      <c r="H5">
        <f t="shared" si="0"/>
        <v>3.3333333333333333E-2</v>
      </c>
    </row>
    <row r="6" spans="1:8" x14ac:dyDescent="0.25">
      <c r="B6" t="s">
        <v>11</v>
      </c>
      <c r="C6" t="s">
        <v>16</v>
      </c>
      <c r="D6">
        <v>11</v>
      </c>
      <c r="E6">
        <v>3</v>
      </c>
      <c r="F6">
        <v>90</v>
      </c>
      <c r="G6">
        <f>D6/F6</f>
        <v>0.12222222222222222</v>
      </c>
      <c r="H6">
        <f t="shared" si="0"/>
        <v>3.3333333333333333E-2</v>
      </c>
    </row>
    <row r="7" spans="1:8" x14ac:dyDescent="0.25">
      <c r="B7" t="s">
        <v>12</v>
      </c>
      <c r="C7" t="s">
        <v>16</v>
      </c>
      <c r="D7">
        <v>10</v>
      </c>
      <c r="E7">
        <v>3</v>
      </c>
      <c r="F7">
        <v>90</v>
      </c>
      <c r="G7">
        <f>D7/F7</f>
        <v>0.1111111111111111</v>
      </c>
      <c r="H7">
        <f t="shared" si="0"/>
        <v>3.3333333333333333E-2</v>
      </c>
    </row>
    <row r="8" spans="1:8" x14ac:dyDescent="0.25">
      <c r="A8">
        <v>221020</v>
      </c>
      <c r="B8" t="s">
        <v>13</v>
      </c>
      <c r="C8" t="s">
        <v>16</v>
      </c>
      <c r="D8">
        <v>8</v>
      </c>
      <c r="E8">
        <v>1</v>
      </c>
      <c r="F8">
        <v>90</v>
      </c>
      <c r="G8">
        <f>D8/F8</f>
        <v>8.8888888888888892E-2</v>
      </c>
      <c r="H8">
        <f t="shared" si="0"/>
        <v>1.1111111111111112E-2</v>
      </c>
    </row>
    <row r="9" spans="1:8" x14ac:dyDescent="0.25">
      <c r="B9" t="s">
        <v>14</v>
      </c>
      <c r="C9" t="s">
        <v>16</v>
      </c>
      <c r="D9">
        <v>9</v>
      </c>
      <c r="E9">
        <v>1</v>
      </c>
      <c r="F9">
        <v>90</v>
      </c>
      <c r="G9">
        <f>D9/F9</f>
        <v>0.1</v>
      </c>
      <c r="H9">
        <f t="shared" si="0"/>
        <v>1.1111111111111112E-2</v>
      </c>
    </row>
    <row r="10" spans="1:8" x14ac:dyDescent="0.25">
      <c r="B10" t="s">
        <v>17</v>
      </c>
      <c r="C10" t="s">
        <v>16</v>
      </c>
      <c r="D10">
        <v>7</v>
      </c>
      <c r="E10">
        <v>1</v>
      </c>
      <c r="F10">
        <v>90</v>
      </c>
      <c r="G10">
        <f>D10/F10</f>
        <v>7.7777777777777779E-2</v>
      </c>
      <c r="H10">
        <f t="shared" si="0"/>
        <v>1.1111111111111112E-2</v>
      </c>
    </row>
    <row r="11" spans="1:8" x14ac:dyDescent="0.25">
      <c r="A11">
        <v>230414</v>
      </c>
      <c r="B11" t="s">
        <v>19</v>
      </c>
      <c r="C11" t="s">
        <v>18</v>
      </c>
      <c r="D11">
        <v>6</v>
      </c>
      <c r="E11">
        <v>2</v>
      </c>
      <c r="F11">
        <v>90</v>
      </c>
      <c r="G11">
        <f>D11/F11</f>
        <v>6.6666666666666666E-2</v>
      </c>
      <c r="H11">
        <f t="shared" si="0"/>
        <v>2.2222222222222223E-2</v>
      </c>
    </row>
    <row r="12" spans="1:8" x14ac:dyDescent="0.25">
      <c r="B12" t="s">
        <v>20</v>
      </c>
      <c r="C12" t="s">
        <v>18</v>
      </c>
      <c r="D12">
        <v>9</v>
      </c>
      <c r="E12">
        <v>4</v>
      </c>
      <c r="F12">
        <v>90</v>
      </c>
      <c r="G12">
        <f>D12/F12</f>
        <v>0.1</v>
      </c>
      <c r="H12">
        <f t="shared" si="0"/>
        <v>4.4444444444444446E-2</v>
      </c>
    </row>
    <row r="13" spans="1:8" x14ac:dyDescent="0.25">
      <c r="B13" t="s">
        <v>21</v>
      </c>
      <c r="C13" t="s">
        <v>18</v>
      </c>
      <c r="D13">
        <v>13</v>
      </c>
      <c r="E13">
        <v>2</v>
      </c>
      <c r="F13">
        <v>90</v>
      </c>
      <c r="G13">
        <f>D13/F13</f>
        <v>0.14444444444444443</v>
      </c>
      <c r="H13">
        <f t="shared" si="0"/>
        <v>2.2222222222222223E-2</v>
      </c>
    </row>
    <row r="14" spans="1:8" x14ac:dyDescent="0.25">
      <c r="A14">
        <v>230331</v>
      </c>
      <c r="B14" t="s">
        <v>22</v>
      </c>
      <c r="C14" t="s">
        <v>18</v>
      </c>
      <c r="D14">
        <v>4</v>
      </c>
      <c r="E14">
        <v>0</v>
      </c>
      <c r="F14">
        <v>90</v>
      </c>
      <c r="G14">
        <f>D14/F14</f>
        <v>4.4444444444444446E-2</v>
      </c>
      <c r="H14">
        <f t="shared" si="0"/>
        <v>0</v>
      </c>
    </row>
    <row r="15" spans="1:8" x14ac:dyDescent="0.25">
      <c r="B15" t="s">
        <v>23</v>
      </c>
      <c r="C15" t="s">
        <v>18</v>
      </c>
      <c r="D15">
        <v>7</v>
      </c>
      <c r="E15">
        <v>2</v>
      </c>
      <c r="F15">
        <v>90</v>
      </c>
      <c r="G15">
        <f>D15/F15</f>
        <v>7.7777777777777779E-2</v>
      </c>
      <c r="H15">
        <f t="shared" si="0"/>
        <v>2.2222222222222223E-2</v>
      </c>
    </row>
    <row r="16" spans="1:8" x14ac:dyDescent="0.25">
      <c r="A16">
        <v>230331</v>
      </c>
      <c r="B16" t="s">
        <v>24</v>
      </c>
      <c r="C16" t="s">
        <v>27</v>
      </c>
      <c r="D16">
        <v>3</v>
      </c>
      <c r="E16">
        <v>3</v>
      </c>
      <c r="F16">
        <v>90</v>
      </c>
      <c r="G16">
        <f t="shared" ref="G16:G38" si="1">D16/F16</f>
        <v>3.3333333333333333E-2</v>
      </c>
      <c r="H16">
        <f t="shared" ref="H16:H38" si="2">E16/F16</f>
        <v>3.3333333333333333E-2</v>
      </c>
    </row>
    <row r="17" spans="1:12" x14ac:dyDescent="0.25">
      <c r="B17" t="s">
        <v>25</v>
      </c>
      <c r="C17" t="s">
        <v>27</v>
      </c>
      <c r="D17">
        <v>7</v>
      </c>
      <c r="E17">
        <v>4</v>
      </c>
      <c r="F17">
        <v>90</v>
      </c>
      <c r="G17">
        <f t="shared" si="1"/>
        <v>7.7777777777777779E-2</v>
      </c>
      <c r="H17">
        <f t="shared" si="2"/>
        <v>4.4444444444444446E-2</v>
      </c>
    </row>
    <row r="18" spans="1:12" x14ac:dyDescent="0.25">
      <c r="A18">
        <v>230825</v>
      </c>
      <c r="B18" t="s">
        <v>28</v>
      </c>
      <c r="C18" t="s">
        <v>26</v>
      </c>
      <c r="D18">
        <v>8</v>
      </c>
      <c r="E18">
        <v>3</v>
      </c>
      <c r="F18">
        <v>90</v>
      </c>
      <c r="G18">
        <f t="shared" si="1"/>
        <v>8.8888888888888892E-2</v>
      </c>
      <c r="H18">
        <f t="shared" si="2"/>
        <v>3.3333333333333333E-2</v>
      </c>
    </row>
    <row r="19" spans="1:12" x14ac:dyDescent="0.25">
      <c r="B19" t="s">
        <v>29</v>
      </c>
      <c r="C19" t="s">
        <v>26</v>
      </c>
      <c r="D19">
        <v>10</v>
      </c>
      <c r="E19">
        <v>4</v>
      </c>
      <c r="F19">
        <v>90</v>
      </c>
      <c r="G19">
        <f t="shared" si="1"/>
        <v>0.1111111111111111</v>
      </c>
      <c r="H19">
        <f t="shared" si="2"/>
        <v>4.4444444444444446E-2</v>
      </c>
    </row>
    <row r="20" spans="1:12" x14ac:dyDescent="0.25">
      <c r="B20" t="s">
        <v>30</v>
      </c>
      <c r="C20" t="s">
        <v>26</v>
      </c>
      <c r="D20">
        <v>8</v>
      </c>
      <c r="E20">
        <v>3</v>
      </c>
      <c r="F20">
        <v>90</v>
      </c>
      <c r="G20">
        <f t="shared" si="1"/>
        <v>8.8888888888888892E-2</v>
      </c>
      <c r="H20">
        <f t="shared" si="2"/>
        <v>3.3333333333333333E-2</v>
      </c>
    </row>
    <row r="21" spans="1:12" x14ac:dyDescent="0.25">
      <c r="B21" t="s">
        <v>31</v>
      </c>
      <c r="C21" t="s">
        <v>26</v>
      </c>
      <c r="D21">
        <v>10</v>
      </c>
      <c r="E21">
        <v>1</v>
      </c>
      <c r="F21">
        <v>90</v>
      </c>
      <c r="G21">
        <f t="shared" si="1"/>
        <v>0.1111111111111111</v>
      </c>
      <c r="H21">
        <f t="shared" si="2"/>
        <v>1.1111111111111112E-2</v>
      </c>
    </row>
    <row r="22" spans="1:12" x14ac:dyDescent="0.25">
      <c r="B22" t="s">
        <v>32</v>
      </c>
      <c r="C22" t="s">
        <v>26</v>
      </c>
      <c r="D22">
        <v>9</v>
      </c>
      <c r="E22">
        <v>4</v>
      </c>
      <c r="F22">
        <v>90</v>
      </c>
      <c r="G22">
        <f t="shared" si="1"/>
        <v>0.1</v>
      </c>
      <c r="H22">
        <f t="shared" si="2"/>
        <v>4.4444444444444446E-2</v>
      </c>
    </row>
    <row r="23" spans="1:12" x14ac:dyDescent="0.25">
      <c r="B23" t="s">
        <v>33</v>
      </c>
      <c r="C23" t="s">
        <v>26</v>
      </c>
      <c r="D23">
        <v>9</v>
      </c>
      <c r="E23">
        <v>3</v>
      </c>
      <c r="F23">
        <v>90</v>
      </c>
      <c r="G23">
        <f t="shared" si="1"/>
        <v>0.1</v>
      </c>
      <c r="H23">
        <f t="shared" si="2"/>
        <v>3.3333333333333333E-2</v>
      </c>
      <c r="K23" t="s">
        <v>39</v>
      </c>
    </row>
    <row r="24" spans="1:12" x14ac:dyDescent="0.25">
      <c r="B24" t="s">
        <v>34</v>
      </c>
      <c r="C24" t="s">
        <v>27</v>
      </c>
      <c r="D24">
        <v>6</v>
      </c>
      <c r="E24">
        <v>4</v>
      </c>
      <c r="F24">
        <v>90</v>
      </c>
      <c r="G24">
        <f t="shared" si="1"/>
        <v>6.6666666666666666E-2</v>
      </c>
      <c r="H24">
        <f t="shared" si="2"/>
        <v>4.4444444444444446E-2</v>
      </c>
      <c r="K24" t="s">
        <v>16</v>
      </c>
      <c r="L24" t="s">
        <v>40</v>
      </c>
    </row>
    <row r="25" spans="1:12" x14ac:dyDescent="0.25">
      <c r="B25" t="s">
        <v>35</v>
      </c>
      <c r="C25" t="s">
        <v>27</v>
      </c>
      <c r="D25">
        <v>7</v>
      </c>
      <c r="E25">
        <v>3</v>
      </c>
      <c r="F25">
        <v>90</v>
      </c>
      <c r="G25">
        <f t="shared" si="1"/>
        <v>7.7777777777777779E-2</v>
      </c>
      <c r="H25">
        <f t="shared" si="2"/>
        <v>3.3333333333333333E-2</v>
      </c>
      <c r="K25" t="s">
        <v>18</v>
      </c>
      <c r="L25" t="s">
        <v>41</v>
      </c>
    </row>
    <row r="26" spans="1:12" x14ac:dyDescent="0.25">
      <c r="B26" t="s">
        <v>36</v>
      </c>
      <c r="C26" t="s">
        <v>27</v>
      </c>
      <c r="D26">
        <v>4</v>
      </c>
      <c r="E26">
        <v>4</v>
      </c>
      <c r="F26">
        <v>90</v>
      </c>
      <c r="G26">
        <f t="shared" si="1"/>
        <v>4.4444444444444446E-2</v>
      </c>
      <c r="H26">
        <f t="shared" si="2"/>
        <v>4.4444444444444446E-2</v>
      </c>
      <c r="K26" t="s">
        <v>26</v>
      </c>
      <c r="L26" t="s">
        <v>42</v>
      </c>
    </row>
    <row r="27" spans="1:12" x14ac:dyDescent="0.25">
      <c r="B27" t="s">
        <v>37</v>
      </c>
      <c r="C27" t="s">
        <v>27</v>
      </c>
      <c r="D27">
        <v>7</v>
      </c>
      <c r="E27">
        <v>4</v>
      </c>
      <c r="F27">
        <v>90</v>
      </c>
      <c r="G27">
        <f t="shared" si="1"/>
        <v>7.7777777777777779E-2</v>
      </c>
      <c r="H27">
        <f t="shared" si="2"/>
        <v>4.4444444444444446E-2</v>
      </c>
      <c r="K27" t="s">
        <v>27</v>
      </c>
      <c r="L27" t="s">
        <v>43</v>
      </c>
    </row>
    <row r="28" spans="1:12" x14ac:dyDescent="0.25">
      <c r="B28" t="s">
        <v>38</v>
      </c>
      <c r="C28" t="s">
        <v>27</v>
      </c>
      <c r="D28">
        <v>4</v>
      </c>
      <c r="E28">
        <v>3</v>
      </c>
      <c r="F28">
        <v>90</v>
      </c>
      <c r="G28">
        <f t="shared" si="1"/>
        <v>4.4444444444444446E-2</v>
      </c>
      <c r="H28">
        <f t="shared" si="2"/>
        <v>3.3333333333333333E-2</v>
      </c>
      <c r="K28" t="s">
        <v>44</v>
      </c>
      <c r="L28" t="s">
        <v>45</v>
      </c>
    </row>
    <row r="29" spans="1:12" x14ac:dyDescent="0.25">
      <c r="A29">
        <v>230720</v>
      </c>
      <c r="B29" t="s">
        <v>46</v>
      </c>
      <c r="C29" t="s">
        <v>44</v>
      </c>
      <c r="D29">
        <v>8</v>
      </c>
      <c r="E29">
        <v>7</v>
      </c>
      <c r="F29">
        <v>90</v>
      </c>
      <c r="G29">
        <f t="shared" si="1"/>
        <v>8.8888888888888892E-2</v>
      </c>
      <c r="H29">
        <f t="shared" si="2"/>
        <v>7.7777777777777779E-2</v>
      </c>
      <c r="K29" t="s">
        <v>53</v>
      </c>
      <c r="L29" t="s">
        <v>54</v>
      </c>
    </row>
    <row r="30" spans="1:12" x14ac:dyDescent="0.25">
      <c r="B30" t="s">
        <v>47</v>
      </c>
      <c r="C30" t="s">
        <v>44</v>
      </c>
      <c r="D30">
        <v>3</v>
      </c>
      <c r="E30">
        <v>6</v>
      </c>
      <c r="F30">
        <v>90</v>
      </c>
      <c r="G30">
        <f t="shared" si="1"/>
        <v>3.3333333333333333E-2</v>
      </c>
      <c r="H30">
        <f t="shared" si="2"/>
        <v>6.6666666666666666E-2</v>
      </c>
    </row>
    <row r="31" spans="1:12" x14ac:dyDescent="0.25">
      <c r="B31" t="s">
        <v>48</v>
      </c>
      <c r="C31" t="s">
        <v>44</v>
      </c>
      <c r="D31">
        <v>7</v>
      </c>
      <c r="E31">
        <v>6</v>
      </c>
      <c r="F31">
        <v>90</v>
      </c>
      <c r="G31">
        <f t="shared" si="1"/>
        <v>7.7777777777777779E-2</v>
      </c>
      <c r="H31">
        <f t="shared" si="2"/>
        <v>6.6666666666666666E-2</v>
      </c>
    </row>
    <row r="32" spans="1:12" x14ac:dyDescent="0.25">
      <c r="B32" t="s">
        <v>49</v>
      </c>
      <c r="C32" t="s">
        <v>44</v>
      </c>
      <c r="D32">
        <v>8</v>
      </c>
      <c r="E32">
        <v>10</v>
      </c>
      <c r="F32">
        <v>90</v>
      </c>
      <c r="G32">
        <f t="shared" si="1"/>
        <v>8.8888888888888892E-2</v>
      </c>
      <c r="H32">
        <f t="shared" si="2"/>
        <v>0.1111111111111111</v>
      </c>
    </row>
    <row r="33" spans="2:8" x14ac:dyDescent="0.25">
      <c r="B33" t="s">
        <v>50</v>
      </c>
      <c r="C33" t="s">
        <v>44</v>
      </c>
      <c r="D33">
        <v>4</v>
      </c>
      <c r="E33">
        <v>4</v>
      </c>
      <c r="F33">
        <v>90</v>
      </c>
      <c r="G33">
        <f t="shared" si="1"/>
        <v>4.4444444444444446E-2</v>
      </c>
      <c r="H33">
        <f t="shared" si="2"/>
        <v>4.4444444444444446E-2</v>
      </c>
    </row>
    <row r="34" spans="2:8" x14ac:dyDescent="0.25">
      <c r="B34" t="s">
        <v>52</v>
      </c>
      <c r="C34" t="s">
        <v>51</v>
      </c>
      <c r="D34">
        <v>5</v>
      </c>
      <c r="E34">
        <v>4</v>
      </c>
      <c r="F34">
        <v>90</v>
      </c>
      <c r="G34">
        <f t="shared" si="1"/>
        <v>5.5555555555555552E-2</v>
      </c>
      <c r="H34">
        <f t="shared" si="2"/>
        <v>4.4444444444444446E-2</v>
      </c>
    </row>
    <row r="35" spans="2:8" x14ac:dyDescent="0.25">
      <c r="B35" t="s">
        <v>55</v>
      </c>
      <c r="C35" t="s">
        <v>51</v>
      </c>
      <c r="D35">
        <v>4</v>
      </c>
      <c r="E35">
        <v>2</v>
      </c>
      <c r="F35">
        <v>90</v>
      </c>
      <c r="G35">
        <f t="shared" si="1"/>
        <v>4.4444444444444446E-2</v>
      </c>
      <c r="H35">
        <f t="shared" si="2"/>
        <v>2.2222222222222223E-2</v>
      </c>
    </row>
    <row r="36" spans="2:8" x14ac:dyDescent="0.25">
      <c r="B36" t="s">
        <v>56</v>
      </c>
      <c r="C36" t="s">
        <v>51</v>
      </c>
      <c r="D36">
        <v>7</v>
      </c>
      <c r="E36">
        <v>4</v>
      </c>
      <c r="F36">
        <v>90</v>
      </c>
      <c r="G36">
        <f t="shared" si="1"/>
        <v>7.7777777777777779E-2</v>
      </c>
      <c r="H36">
        <f t="shared" si="2"/>
        <v>4.4444444444444446E-2</v>
      </c>
    </row>
    <row r="37" spans="2:8" x14ac:dyDescent="0.25">
      <c r="B37" t="s">
        <v>57</v>
      </c>
      <c r="C37" t="s">
        <v>51</v>
      </c>
      <c r="D37">
        <v>6</v>
      </c>
      <c r="E37">
        <v>3</v>
      </c>
      <c r="F37">
        <v>90</v>
      </c>
      <c r="G37">
        <f t="shared" si="1"/>
        <v>6.6666666666666666E-2</v>
      </c>
      <c r="H37">
        <f t="shared" si="2"/>
        <v>3.3333333333333333E-2</v>
      </c>
    </row>
    <row r="38" spans="2:8" x14ac:dyDescent="0.25">
      <c r="B38" t="s">
        <v>58</v>
      </c>
      <c r="C38" t="s">
        <v>51</v>
      </c>
      <c r="D38">
        <v>9</v>
      </c>
      <c r="E38">
        <v>5</v>
      </c>
      <c r="F38">
        <v>90</v>
      </c>
      <c r="G38">
        <f t="shared" si="1"/>
        <v>0.1</v>
      </c>
      <c r="H38">
        <f t="shared" si="2"/>
        <v>5.5555555555555552E-2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EPFL - Ecole Polytechnique Federale de Lausanne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Winter</dc:creator>
  <cp:lastModifiedBy>Julius Winter</cp:lastModifiedBy>
  <dcterms:created xsi:type="dcterms:W3CDTF">2023-09-06T14:18:21Z</dcterms:created>
  <dcterms:modified xsi:type="dcterms:W3CDTF">2023-09-08T13:13:30Z</dcterms:modified>
</cp:coreProperties>
</file>